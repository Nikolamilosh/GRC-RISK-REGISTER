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kola\Downloads\"/>
    </mc:Choice>
  </mc:AlternateContent>
  <xr:revisionPtr revIDLastSave="0" documentId="13_ncr:1_{79C35DA6-5B3A-4EA9-AF99-ACD4D42B7AD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EADME" sheetId="1" r:id="rId1"/>
    <sheet name="Methodology" sheetId="2" r:id="rId2"/>
    <sheet name="Risk Register" sheetId="3" r:id="rId3"/>
    <sheet name="Risk Matrix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" i="3" l="1"/>
  <c r="K17" i="3" s="1"/>
  <c r="J16" i="3"/>
  <c r="K16" i="3" s="1"/>
  <c r="J15" i="3"/>
  <c r="K15" i="3" s="1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</calcChain>
</file>

<file path=xl/sharedStrings.xml><?xml version="1.0" encoding="utf-8"?>
<sst xmlns="http://schemas.openxmlformats.org/spreadsheetml/2006/main" count="291" uniqueCount="223">
  <si>
    <t>Risk Register — Miloshevski Health Partners (Fictional Company)</t>
  </si>
  <si>
    <t>This workbook is a sample enterprise risk register built for a fictional mid-size healthcare provider, Miloshevski Health Partners (~450 employees, 6 clinic locations, one EHR platform, cloud-hosted patient portal). It demonstrates how to identify, assess, score, and track information security risks using a NIST 800-30-aligned qualitative risk assessment methodology.</t>
  </si>
  <si>
    <t>How this workbook is organized</t>
  </si>
  <si>
    <t>• README — This page.</t>
  </si>
  <si>
    <t>• Methodology — How likelihood, impact, and risk level are defined and scored (NIST 800-30 approach).</t>
  </si>
  <si>
    <t>• Risk Register — The core deliverable — 15 identified risks, scored and tracked with owners and treatment plans.</t>
  </si>
  <si>
    <t>• Risk Matrix — A 5x5 heat map visualizing where each risk falls by likelihood and impact.</t>
  </si>
  <si>
    <t>Note on assumptions</t>
  </si>
  <si>
    <t>Miloshevski Health Partners and all associated systems, incidents, and figures are fictional and were created for demonstration purposes. Likelihood and impact ratings reflect reasonable professional judgment for a healthcare organization of this size, not real incident data. Where a real framework or standard is referenced (NIST 800-30, NIST CSF, HIPAA Security Rule), the reference itself is real.</t>
  </si>
  <si>
    <t>Risk Assessment Methodology</t>
  </si>
  <si>
    <t>Based on NIST Special Publication 800-30 Rev. 1, "Guide for Conducting Risk Assessments." Risk is assessed qualitatively as a function of the likelihood of a threat event occurring and the impact if it does:</t>
  </si>
  <si>
    <t>Risk Score  =  Likelihood (1–5)  ×  Impact (1–5)</t>
  </si>
  <si>
    <t>Likelihood Scale</t>
  </si>
  <si>
    <t>Rating</t>
  </si>
  <si>
    <t>Definition</t>
  </si>
  <si>
    <t>1 — Rare</t>
  </si>
  <si>
    <t>May occur only in exceptional circumstances (&lt;5% chance within 1 year).</t>
  </si>
  <si>
    <t>2 — Unlikely</t>
  </si>
  <si>
    <t>Could occur at some point (5–25% chance within 1 year).</t>
  </si>
  <si>
    <t>3 — Possible</t>
  </si>
  <si>
    <t>Might occur at some point (25–50% chance within 1 year).</t>
  </si>
  <si>
    <t>4 — Likely</t>
  </si>
  <si>
    <t>Will probably occur in most circumstances (50–75% chance within 1 year).</t>
  </si>
  <si>
    <t>5 — Almost Certain</t>
  </si>
  <si>
    <t>Expected to occur in most circumstances (&gt;75% chance within 1 year).</t>
  </si>
  <si>
    <t>Impact Scale</t>
  </si>
  <si>
    <t>1 — Negligible</t>
  </si>
  <si>
    <t>Minimal disruption; no PHI exposure; no regulatory notification required.</t>
  </si>
  <si>
    <t>2 — Minor</t>
  </si>
  <si>
    <t>Limited disruption to one system/department; no PHI exposure.</t>
  </si>
  <si>
    <t>3 — Moderate</t>
  </si>
  <si>
    <t>Disruption to a business process; possible small-scale PHI exposure (&lt;500 records).</t>
  </si>
  <si>
    <t>4 — Major</t>
  </si>
  <si>
    <t>Significant operational disruption; PHI breach affecting 500+ records; HHS/OCR notification required; media attention likely.</t>
  </si>
  <si>
    <t>5 — Severe</t>
  </si>
  <si>
    <t>Organization-wide outage or large-scale PHI breach; regulatory fines, litigation, and lasting reputational damage.</t>
  </si>
  <si>
    <t>Risk Level Thresholds (Score = Likelihood × Impact)</t>
  </si>
  <si>
    <t>Score Range</t>
  </si>
  <si>
    <t>Risk Level &amp; Required Action</t>
  </si>
  <si>
    <t>1 – 4</t>
  </si>
  <si>
    <t>LOW — Accept and monitor; reassess annually.</t>
  </si>
  <si>
    <t>5 – 9</t>
  </si>
  <si>
    <t>MEDIUM — Mitigate on a planned basis; reassess semi-annually.</t>
  </si>
  <si>
    <t>10 – 15</t>
  </si>
  <si>
    <t>HIGH — Mitigate promptly; assign owner and target date; reassess quarterly.</t>
  </si>
  <si>
    <t>16 – 25</t>
  </si>
  <si>
    <t>CRITICAL — Immediate action required; escalate to leadership.</t>
  </si>
  <si>
    <t>Miloshevski Health Partners — Information Security Risk Register</t>
  </si>
  <si>
    <t>Risk ID</t>
  </si>
  <si>
    <t>Date Identified</t>
  </si>
  <si>
    <t>Asset / System</t>
  </si>
  <si>
    <t>Threat Source</t>
  </si>
  <si>
    <t>Threat Event</t>
  </si>
  <si>
    <t>Vulnerability</t>
  </si>
  <si>
    <t>Existing Controls</t>
  </si>
  <si>
    <t>Likelihood (1-5)</t>
  </si>
  <si>
    <t>Impact (1-5)</t>
  </si>
  <si>
    <t>Risk Score</t>
  </si>
  <si>
    <t>Risk Level</t>
  </si>
  <si>
    <t>Treatment Strategy</t>
  </si>
  <si>
    <t>Recommended Action</t>
  </si>
  <si>
    <t>Risk Owner</t>
  </si>
  <si>
    <t>Target Date</t>
  </si>
  <si>
    <t>Status</t>
  </si>
  <si>
    <t>R-001</t>
  </si>
  <si>
    <t>2026-01-15</t>
  </si>
  <si>
    <t>EHR Platform</t>
  </si>
  <si>
    <t>External Threat Actor</t>
  </si>
  <si>
    <t>Ransomware attack encrypts EHR database</t>
  </si>
  <si>
    <t>Unpatched RDP server exposed to internet</t>
  </si>
  <si>
    <t>EDR on endpoints; nightly backups</t>
  </si>
  <si>
    <t>Mitigate</t>
  </si>
  <si>
    <t>Disable public RDP; enforce MFA + VPN for remote access; test backup restoration</t>
  </si>
  <si>
    <t>IT Security Manager</t>
  </si>
  <si>
    <t>2026-03-01</t>
  </si>
  <si>
    <t>In Progress</t>
  </si>
  <si>
    <t>R-002</t>
  </si>
  <si>
    <t>Employee Email</t>
  </si>
  <si>
    <t>Phishing leads to credential compromise</t>
  </si>
  <si>
    <t>No email banner for external senders; inconsistent phishing training</t>
  </si>
  <si>
    <t>Spam filter; annual security awareness training</t>
  </si>
  <si>
    <t>Deploy phishing-simulation program quarterly; enable external-sender email banners</t>
  </si>
  <si>
    <t>Security Awareness Lead</t>
  </si>
  <si>
    <t>2026-04-01</t>
  </si>
  <si>
    <t>Not Started</t>
  </si>
  <si>
    <t>R-003</t>
  </si>
  <si>
    <t>2026-01-20</t>
  </si>
  <si>
    <t>Patient Portal (Cloud)</t>
  </si>
  <si>
    <t>Cloud storage bucket misconfigured to public access</t>
  </si>
  <si>
    <t>No automated cloud security posture scanning</t>
  </si>
  <si>
    <t>Manual quarterly cloud config review</t>
  </si>
  <si>
    <t>Implement CSPM tool for continuous cloud configuration monitoring</t>
  </si>
  <si>
    <t>Cloud Infrastructure Lead</t>
  </si>
  <si>
    <t>2026-03-15</t>
  </si>
  <si>
    <t>R-004</t>
  </si>
  <si>
    <t>Third-Party Billing Vendor</t>
  </si>
  <si>
    <t>Supply Chain</t>
  </si>
  <si>
    <t>Vendor suffers data breach exposing shared patient billing data</t>
  </si>
  <si>
    <t>No standardized vendor security assessment process</t>
  </si>
  <si>
    <t>Signed BAA on file</t>
  </si>
  <si>
    <t>Establish vendor risk assessment questionnaire; require SOC 2 report annually</t>
  </si>
  <si>
    <t>Compliance Officer</t>
  </si>
  <si>
    <t>2026-05-01</t>
  </si>
  <si>
    <t>R-005</t>
  </si>
  <si>
    <t>2026-01-22</t>
  </si>
  <si>
    <t>Employee Laptops</t>
  </si>
  <si>
    <t>Insider (Accidental)</t>
  </si>
  <si>
    <t>Unencrypted laptop lost or stolen containing PHI</t>
  </si>
  <si>
    <t>Not all endpoints have full-disk encryption enforced</t>
  </si>
  <si>
    <t>MDM deployed on 80% of devices</t>
  </si>
  <si>
    <t>Enforce full-disk encryption via MDM policy on 100% of endpoints</t>
  </si>
  <si>
    <t>IT Operations Manager</t>
  </si>
  <si>
    <t>2026-02-28</t>
  </si>
  <si>
    <t>R-006</t>
  </si>
  <si>
    <t>2026-01-25</t>
  </si>
  <si>
    <t>Domain / Active Directory</t>
  </si>
  <si>
    <t>Privilege escalation via weak admin password</t>
  </si>
  <si>
    <t>Shared local admin credentials across workstations</t>
  </si>
  <si>
    <t>Password complexity policy</t>
  </si>
  <si>
    <t>Deploy LAPS for unique local admin passwords; enforce MFA on all admin accounts</t>
  </si>
  <si>
    <t>R-007</t>
  </si>
  <si>
    <t>All Systems</t>
  </si>
  <si>
    <t>Insider (Malicious)</t>
  </si>
  <si>
    <t>Departing employee retains access and exfiltrates data</t>
  </si>
  <si>
    <t>Offboarding checklist not consistently followed</t>
  </si>
  <si>
    <t>HR notifies IT on termination</t>
  </si>
  <si>
    <t>Automate account deprovisioning tied to HRIS termination trigger</t>
  </si>
  <si>
    <t>2026-04-15</t>
  </si>
  <si>
    <t>R-008</t>
  </si>
  <si>
    <t>2026-02-01</t>
  </si>
  <si>
    <t>Network Perimeter</t>
  </si>
  <si>
    <t>DDoS attack disrupts patient portal availability</t>
  </si>
  <si>
    <t>No DDoS mitigation service in place</t>
  </si>
  <si>
    <t>Basic firewall rate limiting</t>
  </si>
  <si>
    <t>Accept</t>
  </si>
  <si>
    <t>Monitor; revisit if portal traffic or attack trends increase</t>
  </si>
  <si>
    <t>Network Engineer</t>
  </si>
  <si>
    <t>2026-06-01</t>
  </si>
  <si>
    <t>R-009</t>
  </si>
  <si>
    <t>Environmental</t>
  </si>
  <si>
    <t>Unpatched critical vulnerability exploited (CVE backlog)</t>
  </si>
  <si>
    <t>Patch cadence exceeds 90 days for non-critical systems</t>
  </si>
  <si>
    <t>Monthly patch cycle for critical systems</t>
  </si>
  <si>
    <t>Reduce patch SLA to 30 days for high/critical CVEs; adopt automated patch management tool</t>
  </si>
  <si>
    <t>R-010</t>
  </si>
  <si>
    <t>2026-02-05</t>
  </si>
  <si>
    <t>Data Backups</t>
  </si>
  <si>
    <t>Backup failure discovered only during a real recovery event</t>
  </si>
  <si>
    <t>Backups not regularly test-restored</t>
  </si>
  <si>
    <t>Nightly automated backups to offsite storage</t>
  </si>
  <si>
    <t>Implement quarterly backup restoration test with documented results</t>
  </si>
  <si>
    <t>R-011</t>
  </si>
  <si>
    <t>2026-02-10</t>
  </si>
  <si>
    <t>Clinic Facilities</t>
  </si>
  <si>
    <t>Unauthorized physical access to server closet</t>
  </si>
  <si>
    <t>Server closet lock shared among staff, not badge-controlled</t>
  </si>
  <si>
    <t>Locked door, no badge access</t>
  </si>
  <si>
    <t>Install badge-access control and access logging on all server closets</t>
  </si>
  <si>
    <t>Facilities Manager</t>
  </si>
  <si>
    <t>2026-05-15</t>
  </si>
  <si>
    <t>R-012</t>
  </si>
  <si>
    <t>Remote Access (VPN)</t>
  </si>
  <si>
    <t>Account takeover due to lack of MFA on VPN</t>
  </si>
  <si>
    <t>MFA not enforced for all remote users</t>
  </si>
  <si>
    <t>VPN with username/password only</t>
  </si>
  <si>
    <t>Enforce MFA for all VPN connections org-wide</t>
  </si>
  <si>
    <t>R-013</t>
  </si>
  <si>
    <t>2026-02-12</t>
  </si>
  <si>
    <t>Medical Devices (IoT)</t>
  </si>
  <si>
    <t>Legacy medical device with unsupported OS exploited as network pivot</t>
  </si>
  <si>
    <t>Devices not network-segmented from clinical/admin network</t>
  </si>
  <si>
    <t>Vendor-managed devices, limited visibility</t>
  </si>
  <si>
    <t>Segment IoT/medical devices onto isolated VLAN with restricted access</t>
  </si>
  <si>
    <t>R-014</t>
  </si>
  <si>
    <t>2026-02-15</t>
  </si>
  <si>
    <t>Compliance Program</t>
  </si>
  <si>
    <t>Regulatory</t>
  </si>
  <si>
    <t>Failure to complete annual HIPAA risk assessment on schedule</t>
  </si>
  <si>
    <t>No formal recurring calendar/owner assigned</t>
  </si>
  <si>
    <t>Risk assessment performed ad hoc</t>
  </si>
  <si>
    <t>Assign compliance calendar with recurring annual HIPAA risk assessment owner</t>
  </si>
  <si>
    <t>R-015</t>
  </si>
  <si>
    <t>Social Media / Public Web</t>
  </si>
  <si>
    <t>Business email compromise via executive impersonation (BEC)</t>
  </si>
  <si>
    <t>No secondary verification process for wire/payment change requests</t>
  </si>
  <si>
    <t>Standard email spam filtering</t>
  </si>
  <si>
    <t>Require verbal callback verification for any payment or banking detail changes</t>
  </si>
  <si>
    <t>Finance Director</t>
  </si>
  <si>
    <t>Risk Heat Map — Likelihood x Impact</t>
  </si>
  <si>
    <t>Likelihood ↓ / Impact →</t>
  </si>
  <si>
    <t>L</t>
  </si>
  <si>
    <t>1 - Negligible</t>
  </si>
  <si>
    <t>2 - Minor</t>
  </si>
  <si>
    <t>3 - Moderate</t>
  </si>
  <si>
    <t>4 - Major</t>
  </si>
  <si>
    <t>5 - Severe</t>
  </si>
  <si>
    <t>5</t>
  </si>
  <si>
    <t>10</t>
  </si>
  <si>
    <t>15</t>
  </si>
  <si>
    <t>20</t>
  </si>
  <si>
    <t>25</t>
  </si>
  <si>
    <t>4</t>
  </si>
  <si>
    <t>8</t>
  </si>
  <si>
    <t>12</t>
  </si>
  <si>
    <t>16
R-002,R-012</t>
  </si>
  <si>
    <t>20
R-001</t>
  </si>
  <si>
    <t>3</t>
  </si>
  <si>
    <t>6</t>
  </si>
  <si>
    <t>9</t>
  </si>
  <si>
    <t>12
R-004,R-005,R-009,R-013,R-015</t>
  </si>
  <si>
    <t>15
R-003,R-006</t>
  </si>
  <si>
    <t>2</t>
  </si>
  <si>
    <t>6
R-008,R-011</t>
  </si>
  <si>
    <t>8
R-007,R-014</t>
  </si>
  <si>
    <t>10
R-010</t>
  </si>
  <si>
    <t>1</t>
  </si>
  <si>
    <t>Legend:</t>
  </si>
  <si>
    <t>Low (1-4)</t>
  </si>
  <si>
    <t>Medium (5-9)</t>
  </si>
  <si>
    <t>High (10-15)</t>
  </si>
  <si>
    <t>Critical (16-25)</t>
  </si>
  <si>
    <t>Each cell shows Risk Score (Likelihood x Impact) and the Risk ID(s) that fall in that cell. See 'Risk Register' tab for full detail on each risk.</t>
  </si>
  <si>
    <t>Portfolio project by Nikola Miloshevski Methodology: NIST SP 800-30 Rev.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</si>
</sst>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595959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1"/>
      <color rgb="FF000000"/>
      <name val="Arial"/>
      <charset val="1"/>
    </font>
    <font>
      <b/>
      <sz val="13"/>
      <color rgb="FF1F3864"/>
      <name val="Arial"/>
      <charset val="1"/>
    </font>
    <font>
      <b/>
      <sz val="10"/>
      <color rgb="FFFFFFFF"/>
      <name val="Arial"/>
      <charset val="1"/>
    </font>
    <font>
      <b/>
      <i/>
      <sz val="10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C6E0B4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F4B084"/>
        <bgColor rgb="FFF8CBAD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3" fillId="0" borderId="0" xfId="0" applyFont="1" applyAlignment="1">
      <alignment wrapText="1"/>
    </xf>
    <xf numFmtId="0" fontId="6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10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1" fillId="3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4B08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0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6"/>
  <sheetViews>
    <sheetView showGridLines="0" tabSelected="1" zoomScaleNormal="100" workbookViewId="0">
      <selection activeCell="B13" sqref="B13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6" t="s">
        <v>0</v>
      </c>
    </row>
    <row r="4" spans="2:2" x14ac:dyDescent="0.25">
      <c r="B4" s="7" t="s">
        <v>222</v>
      </c>
    </row>
    <row r="6" spans="2:2" ht="60" customHeight="1" x14ac:dyDescent="0.25">
      <c r="B6" s="8" t="s">
        <v>1</v>
      </c>
    </row>
    <row r="9" spans="2:2" ht="15.75" x14ac:dyDescent="0.25">
      <c r="B9" s="9" t="s">
        <v>2</v>
      </c>
    </row>
    <row r="10" spans="2:2" ht="27.75" customHeight="1" x14ac:dyDescent="0.25">
      <c r="B10" s="8" t="s">
        <v>3</v>
      </c>
    </row>
    <row r="11" spans="2:2" ht="27.75" customHeight="1" x14ac:dyDescent="0.25">
      <c r="B11" s="8" t="s">
        <v>4</v>
      </c>
    </row>
    <row r="12" spans="2:2" ht="27.75" customHeight="1" x14ac:dyDescent="0.25">
      <c r="B12" s="8" t="s">
        <v>5</v>
      </c>
    </row>
    <row r="13" spans="2:2" ht="27.75" customHeight="1" x14ac:dyDescent="0.25">
      <c r="B13" s="8" t="s">
        <v>6</v>
      </c>
    </row>
    <row r="15" spans="2:2" ht="15.75" x14ac:dyDescent="0.25">
      <c r="B15" s="9" t="s">
        <v>7</v>
      </c>
    </row>
    <row r="16" spans="2:2" ht="60" customHeight="1" x14ac:dyDescent="0.25">
      <c r="B16" s="8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0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8" customWidth="1"/>
    <col min="3" max="3" width="70" customWidth="1"/>
  </cols>
  <sheetData>
    <row r="1" spans="2:3" x14ac:dyDescent="0.25">
      <c r="B1" s="10"/>
      <c r="C1" s="10"/>
    </row>
    <row r="2" spans="2:3" ht="20.25" x14ac:dyDescent="0.3">
      <c r="B2" s="5" t="s">
        <v>9</v>
      </c>
      <c r="C2" s="5"/>
    </row>
    <row r="3" spans="2:3" x14ac:dyDescent="0.25">
      <c r="B3" s="10"/>
      <c r="C3" s="10"/>
    </row>
    <row r="4" spans="2:3" ht="45" customHeight="1" x14ac:dyDescent="0.25">
      <c r="B4" s="4" t="s">
        <v>10</v>
      </c>
      <c r="C4" s="4"/>
    </row>
    <row r="5" spans="2:3" x14ac:dyDescent="0.25">
      <c r="B5" s="10"/>
      <c r="C5" s="10"/>
    </row>
    <row r="6" spans="2:3" ht="15.75" x14ac:dyDescent="0.25">
      <c r="B6" s="3" t="s">
        <v>11</v>
      </c>
      <c r="C6" s="3"/>
    </row>
    <row r="7" spans="2:3" x14ac:dyDescent="0.25">
      <c r="B7" s="10"/>
      <c r="C7" s="10"/>
    </row>
    <row r="8" spans="2:3" x14ac:dyDescent="0.25">
      <c r="B8" s="10"/>
      <c r="C8" s="10"/>
    </row>
    <row r="9" spans="2:3" ht="15.75" x14ac:dyDescent="0.25">
      <c r="B9" s="9" t="s">
        <v>12</v>
      </c>
      <c r="C9" s="10"/>
    </row>
    <row r="10" spans="2:3" x14ac:dyDescent="0.25">
      <c r="B10" s="11" t="s">
        <v>13</v>
      </c>
      <c r="C10" s="11" t="s">
        <v>14</v>
      </c>
    </row>
    <row r="11" spans="2:3" x14ac:dyDescent="0.25">
      <c r="B11" s="12" t="s">
        <v>15</v>
      </c>
      <c r="C11" s="13" t="s">
        <v>16</v>
      </c>
    </row>
    <row r="12" spans="2:3" x14ac:dyDescent="0.25">
      <c r="B12" s="12" t="s">
        <v>17</v>
      </c>
      <c r="C12" s="13" t="s">
        <v>18</v>
      </c>
    </row>
    <row r="13" spans="2:3" x14ac:dyDescent="0.25">
      <c r="B13" s="12" t="s">
        <v>19</v>
      </c>
      <c r="C13" s="13" t="s">
        <v>20</v>
      </c>
    </row>
    <row r="14" spans="2:3" x14ac:dyDescent="0.25">
      <c r="B14" s="12" t="s">
        <v>21</v>
      </c>
      <c r="C14" s="13" t="s">
        <v>22</v>
      </c>
    </row>
    <row r="15" spans="2:3" x14ac:dyDescent="0.25">
      <c r="B15" s="12" t="s">
        <v>23</v>
      </c>
      <c r="C15" s="13" t="s">
        <v>24</v>
      </c>
    </row>
    <row r="16" spans="2:3" x14ac:dyDescent="0.25">
      <c r="B16" s="10"/>
      <c r="C16" s="10"/>
    </row>
    <row r="17" spans="2:3" ht="15.75" x14ac:dyDescent="0.25">
      <c r="B17" s="9" t="s">
        <v>25</v>
      </c>
      <c r="C17" s="10"/>
    </row>
    <row r="18" spans="2:3" x14ac:dyDescent="0.25">
      <c r="B18" s="11" t="s">
        <v>13</v>
      </c>
      <c r="C18" s="11" t="s">
        <v>14</v>
      </c>
    </row>
    <row r="19" spans="2:3" x14ac:dyDescent="0.25">
      <c r="B19" s="12" t="s">
        <v>26</v>
      </c>
      <c r="C19" s="13" t="s">
        <v>27</v>
      </c>
    </row>
    <row r="20" spans="2:3" x14ac:dyDescent="0.25">
      <c r="B20" s="12" t="s">
        <v>28</v>
      </c>
      <c r="C20" s="13" t="s">
        <v>29</v>
      </c>
    </row>
    <row r="21" spans="2:3" ht="25.5" x14ac:dyDescent="0.25">
      <c r="B21" s="12" t="s">
        <v>30</v>
      </c>
      <c r="C21" s="13" t="s">
        <v>31</v>
      </c>
    </row>
    <row r="22" spans="2:3" ht="25.5" x14ac:dyDescent="0.25">
      <c r="B22" s="12" t="s">
        <v>32</v>
      </c>
      <c r="C22" s="13" t="s">
        <v>33</v>
      </c>
    </row>
    <row r="23" spans="2:3" ht="25.5" x14ac:dyDescent="0.25">
      <c r="B23" s="12" t="s">
        <v>34</v>
      </c>
      <c r="C23" s="13" t="s">
        <v>35</v>
      </c>
    </row>
    <row r="24" spans="2:3" x14ac:dyDescent="0.25">
      <c r="B24" s="10"/>
      <c r="C24" s="10"/>
    </row>
    <row r="25" spans="2:3" ht="15.75" x14ac:dyDescent="0.25">
      <c r="B25" s="9" t="s">
        <v>36</v>
      </c>
      <c r="C25" s="10"/>
    </row>
    <row r="26" spans="2:3" x14ac:dyDescent="0.25">
      <c r="B26" s="11" t="s">
        <v>37</v>
      </c>
      <c r="C26" s="11" t="s">
        <v>38</v>
      </c>
    </row>
    <row r="27" spans="2:3" x14ac:dyDescent="0.25">
      <c r="B27" s="12" t="s">
        <v>39</v>
      </c>
      <c r="C27" s="14" t="s">
        <v>40</v>
      </c>
    </row>
    <row r="28" spans="2:3" x14ac:dyDescent="0.25">
      <c r="B28" s="12" t="s">
        <v>41</v>
      </c>
      <c r="C28" s="15" t="s">
        <v>42</v>
      </c>
    </row>
    <row r="29" spans="2:3" x14ac:dyDescent="0.25">
      <c r="B29" s="12" t="s">
        <v>43</v>
      </c>
      <c r="C29" s="16" t="s">
        <v>44</v>
      </c>
    </row>
    <row r="30" spans="2:3" x14ac:dyDescent="0.25">
      <c r="B30" s="12" t="s">
        <v>45</v>
      </c>
      <c r="C30" s="17" t="s">
        <v>46</v>
      </c>
    </row>
  </sheetData>
  <mergeCells count="3">
    <mergeCell ref="B2:C2"/>
    <mergeCell ref="B4:C4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showGridLines="0" zoomScaleNormal="100" workbookViewId="0">
      <pane ySplit="2" topLeftCell="A8" activePane="bottomLeft" state="frozen"/>
      <selection pane="bottomLeft" activeCell="G17" sqref="G17"/>
    </sheetView>
  </sheetViews>
  <sheetFormatPr defaultColWidth="8.7109375" defaultRowHeight="15" x14ac:dyDescent="0.25"/>
  <cols>
    <col min="1" max="1" width="9" customWidth="1"/>
    <col min="2" max="2" width="13" customWidth="1"/>
    <col min="3" max="3" width="18" customWidth="1"/>
    <col min="4" max="4" width="16" customWidth="1"/>
    <col min="5" max="7" width="26" customWidth="1"/>
    <col min="8" max="8" width="12" customWidth="1"/>
    <col min="9" max="10" width="10" customWidth="1"/>
    <col min="11" max="11" width="11" customWidth="1"/>
    <col min="12" max="12" width="14" customWidth="1"/>
    <col min="13" max="13" width="30" customWidth="1"/>
    <col min="14" max="14" width="16" customWidth="1"/>
    <col min="15" max="16" width="12" customWidth="1"/>
  </cols>
  <sheetData>
    <row r="1" spans="1:16" ht="21.75" customHeight="1" x14ac:dyDescent="0.25">
      <c r="A1" s="2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1.5" customHeight="1" x14ac:dyDescent="0.25">
      <c r="A2" s="18" t="s">
        <v>48</v>
      </c>
      <c r="B2" s="18" t="s">
        <v>49</v>
      </c>
      <c r="C2" s="18" t="s">
        <v>50</v>
      </c>
      <c r="D2" s="18" t="s">
        <v>51</v>
      </c>
      <c r="E2" s="18" t="s">
        <v>52</v>
      </c>
      <c r="F2" s="18" t="s">
        <v>53</v>
      </c>
      <c r="G2" s="18" t="s">
        <v>54</v>
      </c>
      <c r="H2" s="18" t="s">
        <v>55</v>
      </c>
      <c r="I2" s="18" t="s">
        <v>56</v>
      </c>
      <c r="J2" s="18" t="s">
        <v>57</v>
      </c>
      <c r="K2" s="18" t="s">
        <v>58</v>
      </c>
      <c r="L2" s="18" t="s">
        <v>59</v>
      </c>
      <c r="M2" s="18" t="s">
        <v>60</v>
      </c>
      <c r="N2" s="18" t="s">
        <v>61</v>
      </c>
      <c r="O2" s="18" t="s">
        <v>62</v>
      </c>
      <c r="P2" s="18" t="s">
        <v>63</v>
      </c>
    </row>
    <row r="3" spans="1:16" ht="48" customHeight="1" x14ac:dyDescent="0.25">
      <c r="A3" s="19" t="s">
        <v>64</v>
      </c>
      <c r="B3" s="19" t="s">
        <v>65</v>
      </c>
      <c r="C3" s="20" t="s">
        <v>66</v>
      </c>
      <c r="D3" s="20" t="s">
        <v>67</v>
      </c>
      <c r="E3" s="20" t="s">
        <v>68</v>
      </c>
      <c r="F3" s="20" t="s">
        <v>69</v>
      </c>
      <c r="G3" s="20" t="s">
        <v>70</v>
      </c>
      <c r="H3" s="19">
        <v>4</v>
      </c>
      <c r="I3" s="19">
        <v>5</v>
      </c>
      <c r="J3" s="19">
        <f t="shared" ref="J3:J17" si="0">H3*I3</f>
        <v>20</v>
      </c>
      <c r="K3" s="19" t="str">
        <f t="shared" ref="K3:K17" si="1">IF(J3&gt;=16,"Critical",IF(J3&gt;=10,"High",IF(J3&gt;=5,"Medium","Low")))</f>
        <v>Critical</v>
      </c>
      <c r="L3" s="20" t="s">
        <v>71</v>
      </c>
      <c r="M3" s="20" t="s">
        <v>72</v>
      </c>
      <c r="N3" s="20" t="s">
        <v>73</v>
      </c>
      <c r="O3" s="19" t="s">
        <v>74</v>
      </c>
      <c r="P3" s="19" t="s">
        <v>75</v>
      </c>
    </row>
    <row r="4" spans="1:16" ht="48" customHeight="1" x14ac:dyDescent="0.25">
      <c r="A4" s="19" t="s">
        <v>76</v>
      </c>
      <c r="B4" s="19" t="s">
        <v>65</v>
      </c>
      <c r="C4" s="20" t="s">
        <v>77</v>
      </c>
      <c r="D4" s="20" t="s">
        <v>67</v>
      </c>
      <c r="E4" s="20" t="s">
        <v>78</v>
      </c>
      <c r="F4" s="20" t="s">
        <v>79</v>
      </c>
      <c r="G4" s="20" t="s">
        <v>80</v>
      </c>
      <c r="H4" s="19">
        <v>4</v>
      </c>
      <c r="I4" s="19">
        <v>4</v>
      </c>
      <c r="J4" s="19">
        <f t="shared" si="0"/>
        <v>16</v>
      </c>
      <c r="K4" s="19" t="str">
        <f t="shared" si="1"/>
        <v>Critical</v>
      </c>
      <c r="L4" s="20" t="s">
        <v>71</v>
      </c>
      <c r="M4" s="20" t="s">
        <v>81</v>
      </c>
      <c r="N4" s="20" t="s">
        <v>82</v>
      </c>
      <c r="O4" s="19" t="s">
        <v>83</v>
      </c>
      <c r="P4" s="19" t="s">
        <v>84</v>
      </c>
    </row>
    <row r="5" spans="1:16" ht="48" customHeight="1" x14ac:dyDescent="0.25">
      <c r="A5" s="19" t="s">
        <v>85</v>
      </c>
      <c r="B5" s="19" t="s">
        <v>86</v>
      </c>
      <c r="C5" s="20" t="s">
        <v>87</v>
      </c>
      <c r="D5" s="20" t="s">
        <v>67</v>
      </c>
      <c r="E5" s="20" t="s">
        <v>88</v>
      </c>
      <c r="F5" s="20" t="s">
        <v>89</v>
      </c>
      <c r="G5" s="20" t="s">
        <v>90</v>
      </c>
      <c r="H5" s="19">
        <v>3</v>
      </c>
      <c r="I5" s="19">
        <v>5</v>
      </c>
      <c r="J5" s="19">
        <f t="shared" si="0"/>
        <v>15</v>
      </c>
      <c r="K5" s="19" t="str">
        <f t="shared" si="1"/>
        <v>High</v>
      </c>
      <c r="L5" s="20" t="s">
        <v>71</v>
      </c>
      <c r="M5" s="20" t="s">
        <v>91</v>
      </c>
      <c r="N5" s="20" t="s">
        <v>92</v>
      </c>
      <c r="O5" s="19" t="s">
        <v>93</v>
      </c>
      <c r="P5" s="19" t="s">
        <v>75</v>
      </c>
    </row>
    <row r="6" spans="1:16" ht="48" customHeight="1" x14ac:dyDescent="0.25">
      <c r="A6" s="19" t="s">
        <v>94</v>
      </c>
      <c r="B6" s="19" t="s">
        <v>86</v>
      </c>
      <c r="C6" s="20" t="s">
        <v>95</v>
      </c>
      <c r="D6" s="20" t="s">
        <v>96</v>
      </c>
      <c r="E6" s="20" t="s">
        <v>97</v>
      </c>
      <c r="F6" s="20" t="s">
        <v>98</v>
      </c>
      <c r="G6" s="20" t="s">
        <v>99</v>
      </c>
      <c r="H6" s="19">
        <v>3</v>
      </c>
      <c r="I6" s="19">
        <v>4</v>
      </c>
      <c r="J6" s="19">
        <f t="shared" si="0"/>
        <v>12</v>
      </c>
      <c r="K6" s="19" t="str">
        <f t="shared" si="1"/>
        <v>High</v>
      </c>
      <c r="L6" s="20" t="s">
        <v>71</v>
      </c>
      <c r="M6" s="20" t="s">
        <v>100</v>
      </c>
      <c r="N6" s="20" t="s">
        <v>101</v>
      </c>
      <c r="O6" s="19" t="s">
        <v>102</v>
      </c>
      <c r="P6" s="19" t="s">
        <v>84</v>
      </c>
    </row>
    <row r="7" spans="1:16" ht="48" customHeight="1" x14ac:dyDescent="0.25">
      <c r="A7" s="19" t="s">
        <v>103</v>
      </c>
      <c r="B7" s="19" t="s">
        <v>104</v>
      </c>
      <c r="C7" s="20" t="s">
        <v>105</v>
      </c>
      <c r="D7" s="20" t="s">
        <v>106</v>
      </c>
      <c r="E7" s="20" t="s">
        <v>107</v>
      </c>
      <c r="F7" s="20" t="s">
        <v>108</v>
      </c>
      <c r="G7" s="20" t="s">
        <v>109</v>
      </c>
      <c r="H7" s="19">
        <v>3</v>
      </c>
      <c r="I7" s="19">
        <v>4</v>
      </c>
      <c r="J7" s="19">
        <f t="shared" si="0"/>
        <v>12</v>
      </c>
      <c r="K7" s="19" t="str">
        <f t="shared" si="1"/>
        <v>High</v>
      </c>
      <c r="L7" s="20" t="s">
        <v>71</v>
      </c>
      <c r="M7" s="20" t="s">
        <v>110</v>
      </c>
      <c r="N7" s="20" t="s">
        <v>111</v>
      </c>
      <c r="O7" s="19" t="s">
        <v>112</v>
      </c>
      <c r="P7" s="19" t="s">
        <v>75</v>
      </c>
    </row>
    <row r="8" spans="1:16" ht="48" customHeight="1" x14ac:dyDescent="0.25">
      <c r="A8" s="19" t="s">
        <v>113</v>
      </c>
      <c r="B8" s="19" t="s">
        <v>114</v>
      </c>
      <c r="C8" s="20" t="s">
        <v>115</v>
      </c>
      <c r="D8" s="20" t="s">
        <v>67</v>
      </c>
      <c r="E8" s="20" t="s">
        <v>116</v>
      </c>
      <c r="F8" s="20" t="s">
        <v>117</v>
      </c>
      <c r="G8" s="20" t="s">
        <v>118</v>
      </c>
      <c r="H8" s="19">
        <v>3</v>
      </c>
      <c r="I8" s="19">
        <v>5</v>
      </c>
      <c r="J8" s="19">
        <f t="shared" si="0"/>
        <v>15</v>
      </c>
      <c r="K8" s="19" t="str">
        <f t="shared" si="1"/>
        <v>High</v>
      </c>
      <c r="L8" s="20" t="s">
        <v>71</v>
      </c>
      <c r="M8" s="20" t="s">
        <v>119</v>
      </c>
      <c r="N8" s="20" t="s">
        <v>73</v>
      </c>
      <c r="O8" s="19" t="s">
        <v>74</v>
      </c>
      <c r="P8" s="19" t="s">
        <v>84</v>
      </c>
    </row>
    <row r="9" spans="1:16" ht="48" customHeight="1" x14ac:dyDescent="0.25">
      <c r="A9" s="19" t="s">
        <v>120</v>
      </c>
      <c r="B9" s="19" t="s">
        <v>114</v>
      </c>
      <c r="C9" s="20" t="s">
        <v>121</v>
      </c>
      <c r="D9" s="20" t="s">
        <v>122</v>
      </c>
      <c r="E9" s="20" t="s">
        <v>123</v>
      </c>
      <c r="F9" s="20" t="s">
        <v>124</v>
      </c>
      <c r="G9" s="20" t="s">
        <v>125</v>
      </c>
      <c r="H9" s="19">
        <v>2</v>
      </c>
      <c r="I9" s="19">
        <v>4</v>
      </c>
      <c r="J9" s="19">
        <f t="shared" si="0"/>
        <v>8</v>
      </c>
      <c r="K9" s="19" t="str">
        <f t="shared" si="1"/>
        <v>Medium</v>
      </c>
      <c r="L9" s="20" t="s">
        <v>71</v>
      </c>
      <c r="M9" s="20" t="s">
        <v>126</v>
      </c>
      <c r="N9" s="20" t="s">
        <v>111</v>
      </c>
      <c r="O9" s="19" t="s">
        <v>127</v>
      </c>
      <c r="P9" s="19" t="s">
        <v>84</v>
      </c>
    </row>
    <row r="10" spans="1:16" ht="48" customHeight="1" x14ac:dyDescent="0.25">
      <c r="A10" s="19" t="s">
        <v>128</v>
      </c>
      <c r="B10" s="19" t="s">
        <v>129</v>
      </c>
      <c r="C10" s="20" t="s">
        <v>130</v>
      </c>
      <c r="D10" s="20" t="s">
        <v>67</v>
      </c>
      <c r="E10" s="20" t="s">
        <v>131</v>
      </c>
      <c r="F10" s="20" t="s">
        <v>132</v>
      </c>
      <c r="G10" s="20" t="s">
        <v>133</v>
      </c>
      <c r="H10" s="19">
        <v>2</v>
      </c>
      <c r="I10" s="19">
        <v>3</v>
      </c>
      <c r="J10" s="19">
        <f t="shared" si="0"/>
        <v>6</v>
      </c>
      <c r="K10" s="19" t="str">
        <f t="shared" si="1"/>
        <v>Medium</v>
      </c>
      <c r="L10" s="20" t="s">
        <v>134</v>
      </c>
      <c r="M10" s="20" t="s">
        <v>135</v>
      </c>
      <c r="N10" s="20" t="s">
        <v>136</v>
      </c>
      <c r="O10" s="19" t="s">
        <v>137</v>
      </c>
      <c r="P10" s="19" t="s">
        <v>84</v>
      </c>
    </row>
    <row r="11" spans="1:16" ht="48" customHeight="1" x14ac:dyDescent="0.25">
      <c r="A11" s="19" t="s">
        <v>138</v>
      </c>
      <c r="B11" s="19" t="s">
        <v>129</v>
      </c>
      <c r="C11" s="20" t="s">
        <v>66</v>
      </c>
      <c r="D11" s="20" t="s">
        <v>139</v>
      </c>
      <c r="E11" s="20" t="s">
        <v>140</v>
      </c>
      <c r="F11" s="20" t="s">
        <v>141</v>
      </c>
      <c r="G11" s="20" t="s">
        <v>142</v>
      </c>
      <c r="H11" s="19">
        <v>3</v>
      </c>
      <c r="I11" s="19">
        <v>4</v>
      </c>
      <c r="J11" s="19">
        <f t="shared" si="0"/>
        <v>12</v>
      </c>
      <c r="K11" s="19" t="str">
        <f t="shared" si="1"/>
        <v>High</v>
      </c>
      <c r="L11" s="20" t="s">
        <v>71</v>
      </c>
      <c r="M11" s="20" t="s">
        <v>143</v>
      </c>
      <c r="N11" s="20" t="s">
        <v>73</v>
      </c>
      <c r="O11" s="19" t="s">
        <v>83</v>
      </c>
      <c r="P11" s="19" t="s">
        <v>84</v>
      </c>
    </row>
    <row r="12" spans="1:16" ht="48" customHeight="1" x14ac:dyDescent="0.25">
      <c r="A12" s="19" t="s">
        <v>144</v>
      </c>
      <c r="B12" s="19" t="s">
        <v>145</v>
      </c>
      <c r="C12" s="20" t="s">
        <v>146</v>
      </c>
      <c r="D12" s="20" t="s">
        <v>139</v>
      </c>
      <c r="E12" s="20" t="s">
        <v>147</v>
      </c>
      <c r="F12" s="20" t="s">
        <v>148</v>
      </c>
      <c r="G12" s="20" t="s">
        <v>149</v>
      </c>
      <c r="H12" s="19">
        <v>2</v>
      </c>
      <c r="I12" s="19">
        <v>5</v>
      </c>
      <c r="J12" s="19">
        <f t="shared" si="0"/>
        <v>10</v>
      </c>
      <c r="K12" s="19" t="str">
        <f t="shared" si="1"/>
        <v>High</v>
      </c>
      <c r="L12" s="20" t="s">
        <v>71</v>
      </c>
      <c r="M12" s="20" t="s">
        <v>150</v>
      </c>
      <c r="N12" s="20" t="s">
        <v>111</v>
      </c>
      <c r="O12" s="19" t="s">
        <v>74</v>
      </c>
      <c r="P12" s="19" t="s">
        <v>75</v>
      </c>
    </row>
    <row r="13" spans="1:16" ht="48" customHeight="1" x14ac:dyDescent="0.25">
      <c r="A13" s="19" t="s">
        <v>151</v>
      </c>
      <c r="B13" s="19" t="s">
        <v>152</v>
      </c>
      <c r="C13" s="20" t="s">
        <v>153</v>
      </c>
      <c r="D13" s="20" t="s">
        <v>106</v>
      </c>
      <c r="E13" s="20" t="s">
        <v>154</v>
      </c>
      <c r="F13" s="20" t="s">
        <v>155</v>
      </c>
      <c r="G13" s="20" t="s">
        <v>156</v>
      </c>
      <c r="H13" s="19">
        <v>2</v>
      </c>
      <c r="I13" s="19">
        <v>3</v>
      </c>
      <c r="J13" s="19">
        <f t="shared" si="0"/>
        <v>6</v>
      </c>
      <c r="K13" s="19" t="str">
        <f t="shared" si="1"/>
        <v>Medium</v>
      </c>
      <c r="L13" s="20" t="s">
        <v>71</v>
      </c>
      <c r="M13" s="20" t="s">
        <v>157</v>
      </c>
      <c r="N13" s="20" t="s">
        <v>158</v>
      </c>
      <c r="O13" s="19" t="s">
        <v>159</v>
      </c>
      <c r="P13" s="19" t="s">
        <v>84</v>
      </c>
    </row>
    <row r="14" spans="1:16" ht="48" customHeight="1" x14ac:dyDescent="0.25">
      <c r="A14" s="19" t="s">
        <v>160</v>
      </c>
      <c r="B14" s="19" t="s">
        <v>152</v>
      </c>
      <c r="C14" s="20" t="s">
        <v>161</v>
      </c>
      <c r="D14" s="20" t="s">
        <v>67</v>
      </c>
      <c r="E14" s="20" t="s">
        <v>162</v>
      </c>
      <c r="F14" s="20" t="s">
        <v>163</v>
      </c>
      <c r="G14" s="20" t="s">
        <v>164</v>
      </c>
      <c r="H14" s="19">
        <v>4</v>
      </c>
      <c r="I14" s="19">
        <v>4</v>
      </c>
      <c r="J14" s="19">
        <f t="shared" si="0"/>
        <v>16</v>
      </c>
      <c r="K14" s="19" t="str">
        <f t="shared" si="1"/>
        <v>Critical</v>
      </c>
      <c r="L14" s="20" t="s">
        <v>71</v>
      </c>
      <c r="M14" s="20" t="s">
        <v>165</v>
      </c>
      <c r="N14" s="20" t="s">
        <v>73</v>
      </c>
      <c r="O14" s="19" t="s">
        <v>112</v>
      </c>
      <c r="P14" s="19" t="s">
        <v>75</v>
      </c>
    </row>
    <row r="15" spans="1:16" ht="48" customHeight="1" x14ac:dyDescent="0.25">
      <c r="A15" s="19" t="s">
        <v>166</v>
      </c>
      <c r="B15" s="19" t="s">
        <v>167</v>
      </c>
      <c r="C15" s="20" t="s">
        <v>168</v>
      </c>
      <c r="D15" s="20" t="s">
        <v>67</v>
      </c>
      <c r="E15" s="20" t="s">
        <v>169</v>
      </c>
      <c r="F15" s="20" t="s">
        <v>170</v>
      </c>
      <c r="G15" s="20" t="s">
        <v>171</v>
      </c>
      <c r="H15" s="19">
        <v>3</v>
      </c>
      <c r="I15" s="19">
        <v>4</v>
      </c>
      <c r="J15" s="19">
        <f t="shared" si="0"/>
        <v>12</v>
      </c>
      <c r="K15" s="19" t="str">
        <f t="shared" si="1"/>
        <v>High</v>
      </c>
      <c r="L15" s="20" t="s">
        <v>71</v>
      </c>
      <c r="M15" s="20" t="s">
        <v>172</v>
      </c>
      <c r="N15" s="20" t="s">
        <v>136</v>
      </c>
      <c r="O15" s="19" t="s">
        <v>137</v>
      </c>
      <c r="P15" s="19" t="s">
        <v>84</v>
      </c>
    </row>
    <row r="16" spans="1:16" ht="48" customHeight="1" x14ac:dyDescent="0.25">
      <c r="A16" s="19" t="s">
        <v>173</v>
      </c>
      <c r="B16" s="19" t="s">
        <v>174</v>
      </c>
      <c r="C16" s="20" t="s">
        <v>175</v>
      </c>
      <c r="D16" s="20" t="s">
        <v>176</v>
      </c>
      <c r="E16" s="20" t="s">
        <v>177</v>
      </c>
      <c r="F16" s="20" t="s">
        <v>178</v>
      </c>
      <c r="G16" s="20" t="s">
        <v>179</v>
      </c>
      <c r="H16" s="19">
        <v>2</v>
      </c>
      <c r="I16" s="19">
        <v>4</v>
      </c>
      <c r="J16" s="19">
        <f t="shared" si="0"/>
        <v>8</v>
      </c>
      <c r="K16" s="19" t="str">
        <f t="shared" si="1"/>
        <v>Medium</v>
      </c>
      <c r="L16" s="20" t="s">
        <v>71</v>
      </c>
      <c r="M16" s="20" t="s">
        <v>180</v>
      </c>
      <c r="N16" s="20" t="s">
        <v>101</v>
      </c>
      <c r="O16" s="19" t="s">
        <v>74</v>
      </c>
      <c r="P16" s="19" t="s">
        <v>75</v>
      </c>
    </row>
    <row r="17" spans="1:16" ht="48" customHeight="1" x14ac:dyDescent="0.25">
      <c r="A17" s="19" t="s">
        <v>181</v>
      </c>
      <c r="B17" s="19" t="s">
        <v>174</v>
      </c>
      <c r="C17" s="20" t="s">
        <v>182</v>
      </c>
      <c r="D17" s="20" t="s">
        <v>67</v>
      </c>
      <c r="E17" s="20" t="s">
        <v>183</v>
      </c>
      <c r="F17" s="20" t="s">
        <v>184</v>
      </c>
      <c r="G17" s="20" t="s">
        <v>185</v>
      </c>
      <c r="H17" s="19">
        <v>3</v>
      </c>
      <c r="I17" s="19">
        <v>4</v>
      </c>
      <c r="J17" s="19">
        <f t="shared" si="0"/>
        <v>12</v>
      </c>
      <c r="K17" s="19" t="str">
        <f t="shared" si="1"/>
        <v>High</v>
      </c>
      <c r="L17" s="20" t="s">
        <v>71</v>
      </c>
      <c r="M17" s="20" t="s">
        <v>186</v>
      </c>
      <c r="N17" s="20" t="s">
        <v>187</v>
      </c>
      <c r="O17" s="19" t="s">
        <v>93</v>
      </c>
      <c r="P17" s="19" t="s">
        <v>84</v>
      </c>
    </row>
  </sheetData>
  <mergeCells count="1">
    <mergeCell ref="A1:P1"/>
  </mergeCells>
  <conditionalFormatting sqref="K3:K17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dataValidations count="2">
    <dataValidation type="list" allowBlank="1" sqref="P3:P17" xr:uid="{00000000-0002-0000-0200-000000000000}">
      <formula1>"Not Started,In Progress,Mitigated,Accepted,Overdue"</formula1>
      <formula2>0</formula2>
    </dataValidation>
    <dataValidation type="list" allowBlank="1" sqref="L3:L17" xr:uid="{00000000-0002-0000-0200-000001000000}">
      <formula1>"Mitigate,Accept,Transfer,Avoid"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zoomScaleNormal="100" workbookViewId="0">
      <selection activeCell="G6" sqref="G6"/>
    </sheetView>
  </sheetViews>
  <sheetFormatPr defaultColWidth="8.7109375" defaultRowHeight="15" x14ac:dyDescent="0.25"/>
  <cols>
    <col min="2" max="2" width="3" customWidth="1"/>
    <col min="3" max="7" width="14" customWidth="1"/>
  </cols>
  <sheetData>
    <row r="1" spans="1:7" ht="16.5" x14ac:dyDescent="0.25">
      <c r="A1" s="2" t="s">
        <v>188</v>
      </c>
      <c r="B1" s="2"/>
      <c r="C1" s="2"/>
      <c r="D1" s="2"/>
      <c r="E1" s="2"/>
      <c r="F1" s="2"/>
      <c r="G1" s="2"/>
    </row>
    <row r="2" spans="1:7" x14ac:dyDescent="0.25">
      <c r="A2" s="21" t="s">
        <v>189</v>
      </c>
    </row>
    <row r="3" spans="1:7" x14ac:dyDescent="0.25">
      <c r="B3" s="22" t="s">
        <v>190</v>
      </c>
      <c r="C3" s="23" t="s">
        <v>191</v>
      </c>
      <c r="D3" s="23" t="s">
        <v>192</v>
      </c>
      <c r="E3" s="23" t="s">
        <v>193</v>
      </c>
      <c r="F3" s="23" t="s">
        <v>194</v>
      </c>
      <c r="G3" s="23" t="s">
        <v>195</v>
      </c>
    </row>
    <row r="4" spans="1:7" ht="33.75" customHeight="1" x14ac:dyDescent="0.25">
      <c r="B4" s="24" t="s">
        <v>196</v>
      </c>
      <c r="C4" s="25" t="s">
        <v>196</v>
      </c>
      <c r="D4" s="26" t="s">
        <v>197</v>
      </c>
      <c r="E4" s="26" t="s">
        <v>198</v>
      </c>
      <c r="F4" s="27" t="s">
        <v>199</v>
      </c>
      <c r="G4" s="27" t="s">
        <v>200</v>
      </c>
    </row>
    <row r="5" spans="1:7" ht="33.75" customHeight="1" x14ac:dyDescent="0.25">
      <c r="B5" s="24" t="s">
        <v>201</v>
      </c>
      <c r="C5" s="28" t="s">
        <v>201</v>
      </c>
      <c r="D5" s="25" t="s">
        <v>202</v>
      </c>
      <c r="E5" s="26" t="s">
        <v>203</v>
      </c>
      <c r="F5" s="29" t="s">
        <v>204</v>
      </c>
      <c r="G5" s="29" t="s">
        <v>205</v>
      </c>
    </row>
    <row r="6" spans="1:7" ht="33.75" customHeight="1" x14ac:dyDescent="0.25">
      <c r="B6" s="24" t="s">
        <v>206</v>
      </c>
      <c r="C6" s="28" t="s">
        <v>206</v>
      </c>
      <c r="D6" s="25" t="s">
        <v>207</v>
      </c>
      <c r="E6" s="25" t="s">
        <v>208</v>
      </c>
      <c r="F6" s="30" t="s">
        <v>209</v>
      </c>
      <c r="G6" s="30" t="s">
        <v>210</v>
      </c>
    </row>
    <row r="7" spans="1:7" ht="33.75" customHeight="1" x14ac:dyDescent="0.25">
      <c r="B7" s="24" t="s">
        <v>211</v>
      </c>
      <c r="C7" s="28" t="s">
        <v>211</v>
      </c>
      <c r="D7" s="28" t="s">
        <v>201</v>
      </c>
      <c r="E7" s="31" t="s">
        <v>212</v>
      </c>
      <c r="F7" s="31" t="s">
        <v>213</v>
      </c>
      <c r="G7" s="30" t="s">
        <v>214</v>
      </c>
    </row>
    <row r="8" spans="1:7" ht="33.75" customHeight="1" x14ac:dyDescent="0.25">
      <c r="B8" s="24" t="s">
        <v>215</v>
      </c>
      <c r="C8" s="28" t="s">
        <v>215</v>
      </c>
      <c r="D8" s="28" t="s">
        <v>211</v>
      </c>
      <c r="E8" s="28" t="s">
        <v>206</v>
      </c>
      <c r="F8" s="28" t="s">
        <v>201</v>
      </c>
      <c r="G8" s="25" t="s">
        <v>196</v>
      </c>
    </row>
    <row r="10" spans="1:7" x14ac:dyDescent="0.25">
      <c r="B10" s="32" t="s">
        <v>216</v>
      </c>
      <c r="C10" s="33" t="s">
        <v>217</v>
      </c>
      <c r="D10" s="34" t="s">
        <v>218</v>
      </c>
      <c r="E10" s="35" t="s">
        <v>219</v>
      </c>
      <c r="F10" s="36" t="s">
        <v>220</v>
      </c>
    </row>
    <row r="12" spans="1:7" ht="22.35" customHeight="1" x14ac:dyDescent="0.25">
      <c r="B12" s="1" t="s">
        <v>221</v>
      </c>
      <c r="C12" s="1"/>
      <c r="D12" s="1"/>
      <c r="E12" s="1"/>
      <c r="F12" s="1"/>
      <c r="G12" s="1"/>
    </row>
  </sheetData>
  <mergeCells count="2">
    <mergeCell ref="A1:G1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Methodology</vt:lpstr>
      <vt:lpstr>Risk Register</vt:lpstr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Miloshevski, Nikola</cp:lastModifiedBy>
  <cp:revision>0</cp:revision>
  <dcterms:created xsi:type="dcterms:W3CDTF">2026-08-17T00:49:42Z</dcterms:created>
  <dcterms:modified xsi:type="dcterms:W3CDTF">2026-08-17T01:02:40Z</dcterms:modified>
  <dc:language>en-US</dc:language>
</cp:coreProperties>
</file>